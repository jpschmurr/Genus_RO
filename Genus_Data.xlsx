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e\OneDrive\Documents\Fall 2026\Minimum Genus Research\"/>
    </mc:Choice>
  </mc:AlternateContent>
  <xr:revisionPtr revIDLastSave="0" documentId="8_{AD491F49-FC38-4426-90D5-38376F4DA6CD}" xr6:coauthVersionLast="47" xr6:coauthVersionMax="47" xr10:uidLastSave="{00000000-0000-0000-0000-000000000000}"/>
  <bookViews>
    <workbookView xWindow="-110" yWindow="-110" windowWidth="25820" windowHeight="15500" xr2:uid="{3FCE0674-D2CD-49BC-AB9F-08086527B528}"/>
  </bookViews>
  <sheets>
    <sheet name="Genus_Data" sheetId="1" r:id="rId1"/>
    <sheet name="Graph Type 2 (k, k+1, k+2, k+3)" sheetId="2" r:id="rId2"/>
    <sheet name="Miscellaneous Typ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D2" i="2"/>
  <c r="C2" i="2"/>
  <c r="B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<sst xmlns="http://schemas.openxmlformats.org/spreadsheetml/2006/main" count="12" uniqueCount="7">
  <si>
    <t>N</t>
  </si>
  <si>
    <t>Min_Genus</t>
  </si>
  <si>
    <t>3,5,7,11</t>
  </si>
  <si>
    <t>3,3,3,3,3</t>
  </si>
  <si>
    <t>1,1,1,1,5</t>
  </si>
  <si>
    <t>Graph Type (1,1,1,2k-3)</t>
  </si>
  <si>
    <t>Graph Type (k,k+1,k+2,k+3)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</si>
</sst>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8068-82BE-443E-926F-FC95F372703A}">
  <dimension ref="A1:L20"/>
  <sheetViews>
    <sheetView tabSelected="1" workbookViewId="0">
      <selection activeCell="H3" sqref="H3"/>
    </sheetView>
  </sheetViews>
  <sheetFormatPr defaultRowHeight="14.5" x14ac:dyDescent="0.35"/>
  <cols>
    <col min="3" max="4" width="8.7265625" customWidth="1"/>
  </cols>
  <sheetData>
    <row r="1" spans="1:12" x14ac:dyDescent="0.35">
      <c r="A1" s="1" t="s">
        <v>5</v>
      </c>
      <c r="B1" s="1"/>
      <c r="C1" s="1"/>
      <c r="D1" s="1"/>
      <c r="E1" t="s">
        <v>0</v>
      </c>
      <c r="F1" t="s">
        <v>1</v>
      </c>
      <c r="K1" t="s">
        <v>2</v>
      </c>
      <c r="L1">
        <v>5</v>
      </c>
    </row>
    <row r="2" spans="1:12" x14ac:dyDescent="0.35">
      <c r="A2">
        <v>1</v>
      </c>
      <c r="B2">
        <v>1</v>
      </c>
      <c r="C2">
        <v>1</v>
      </c>
      <c r="D2">
        <v>1</v>
      </c>
      <c r="E2">
        <f>(D2+3)/2</f>
        <v>2</v>
      </c>
      <c r="F2">
        <v>0</v>
      </c>
      <c r="K2" t="s">
        <v>3</v>
      </c>
    </row>
    <row r="3" spans="1:12" x14ac:dyDescent="0.35">
      <c r="A3">
        <v>1</v>
      </c>
      <c r="B3">
        <v>1</v>
      </c>
      <c r="C3">
        <v>1</v>
      </c>
      <c r="D3">
        <v>3</v>
      </c>
      <c r="E3">
        <f t="shared" ref="E3:E20" si="0">(D3+3)/2</f>
        <v>3</v>
      </c>
      <c r="F3">
        <v>1</v>
      </c>
      <c r="K3" t="s">
        <v>4</v>
      </c>
    </row>
    <row r="4" spans="1:12" x14ac:dyDescent="0.35">
      <c r="A4">
        <v>1</v>
      </c>
      <c r="B4">
        <v>1</v>
      </c>
      <c r="C4">
        <v>1</v>
      </c>
      <c r="D4">
        <v>5</v>
      </c>
      <c r="E4">
        <f t="shared" si="0"/>
        <v>4</v>
      </c>
      <c r="F4">
        <v>1</v>
      </c>
    </row>
    <row r="5" spans="1:12" x14ac:dyDescent="0.35">
      <c r="A5">
        <v>1</v>
      </c>
      <c r="B5">
        <v>1</v>
      </c>
      <c r="C5">
        <v>1</v>
      </c>
      <c r="D5">
        <v>7</v>
      </c>
      <c r="E5">
        <f t="shared" si="0"/>
        <v>5</v>
      </c>
      <c r="F5">
        <v>1</v>
      </c>
    </row>
    <row r="6" spans="1:12" x14ac:dyDescent="0.35">
      <c r="A6">
        <v>1</v>
      </c>
      <c r="B6">
        <v>1</v>
      </c>
      <c r="C6">
        <v>1</v>
      </c>
      <c r="D6">
        <v>9</v>
      </c>
      <c r="E6">
        <f t="shared" si="0"/>
        <v>6</v>
      </c>
      <c r="F6">
        <v>1</v>
      </c>
    </row>
    <row r="7" spans="1:12" x14ac:dyDescent="0.35">
      <c r="A7">
        <v>1</v>
      </c>
      <c r="B7">
        <v>1</v>
      </c>
      <c r="C7">
        <v>1</v>
      </c>
      <c r="D7">
        <v>11</v>
      </c>
      <c r="E7">
        <f t="shared" si="0"/>
        <v>7</v>
      </c>
      <c r="F7">
        <v>1</v>
      </c>
    </row>
    <row r="8" spans="1:12" x14ac:dyDescent="0.35">
      <c r="A8">
        <v>1</v>
      </c>
      <c r="B8">
        <v>1</v>
      </c>
      <c r="C8">
        <v>1</v>
      </c>
      <c r="D8">
        <v>13</v>
      </c>
      <c r="E8">
        <f t="shared" si="0"/>
        <v>8</v>
      </c>
      <c r="F8">
        <v>1</v>
      </c>
    </row>
    <row r="9" spans="1:12" x14ac:dyDescent="0.35">
      <c r="A9">
        <v>1</v>
      </c>
      <c r="B9">
        <v>1</v>
      </c>
      <c r="C9">
        <v>1</v>
      </c>
      <c r="D9">
        <v>15</v>
      </c>
      <c r="E9">
        <f t="shared" si="0"/>
        <v>9</v>
      </c>
      <c r="F9">
        <v>1</v>
      </c>
    </row>
    <row r="10" spans="1:12" x14ac:dyDescent="0.35">
      <c r="A10">
        <v>1</v>
      </c>
      <c r="B10">
        <v>1</v>
      </c>
      <c r="C10">
        <v>1</v>
      </c>
      <c r="D10">
        <v>17</v>
      </c>
      <c r="E10">
        <f t="shared" si="0"/>
        <v>10</v>
      </c>
      <c r="F10">
        <v>1</v>
      </c>
    </row>
    <row r="11" spans="1:12" x14ac:dyDescent="0.35">
      <c r="A11">
        <v>1</v>
      </c>
      <c r="B11">
        <v>1</v>
      </c>
      <c r="C11">
        <v>1</v>
      </c>
      <c r="D11">
        <v>19</v>
      </c>
      <c r="E11">
        <f t="shared" si="0"/>
        <v>11</v>
      </c>
      <c r="F11">
        <v>1</v>
      </c>
    </row>
    <row r="12" spans="1:12" x14ac:dyDescent="0.35">
      <c r="A12">
        <v>1</v>
      </c>
      <c r="B12">
        <v>1</v>
      </c>
      <c r="C12">
        <v>1</v>
      </c>
      <c r="D12">
        <v>21</v>
      </c>
      <c r="E12">
        <f t="shared" si="0"/>
        <v>12</v>
      </c>
      <c r="F12">
        <v>1</v>
      </c>
    </row>
    <row r="13" spans="1:12" x14ac:dyDescent="0.35">
      <c r="A13">
        <v>1</v>
      </c>
      <c r="B13">
        <v>1</v>
      </c>
      <c r="C13">
        <v>1</v>
      </c>
      <c r="D13">
        <v>23</v>
      </c>
      <c r="E13">
        <f t="shared" si="0"/>
        <v>13</v>
      </c>
      <c r="F13">
        <v>1</v>
      </c>
    </row>
    <row r="14" spans="1:12" x14ac:dyDescent="0.35">
      <c r="A14">
        <v>1</v>
      </c>
      <c r="B14">
        <v>1</v>
      </c>
      <c r="C14">
        <v>1</v>
      </c>
      <c r="D14">
        <v>25</v>
      </c>
      <c r="E14">
        <f t="shared" si="0"/>
        <v>14</v>
      </c>
      <c r="F14">
        <v>1</v>
      </c>
    </row>
    <row r="15" spans="1:12" x14ac:dyDescent="0.35">
      <c r="A15">
        <v>1</v>
      </c>
      <c r="B15">
        <v>1</v>
      </c>
      <c r="C15">
        <v>1</v>
      </c>
      <c r="D15">
        <v>27</v>
      </c>
      <c r="E15">
        <f t="shared" si="0"/>
        <v>15</v>
      </c>
      <c r="F15">
        <v>1</v>
      </c>
    </row>
    <row r="16" spans="1:12" x14ac:dyDescent="0.35">
      <c r="A16">
        <v>1</v>
      </c>
      <c r="B16">
        <v>1</v>
      </c>
      <c r="C16">
        <v>1</v>
      </c>
      <c r="D16">
        <v>29</v>
      </c>
      <c r="E16">
        <f t="shared" si="0"/>
        <v>16</v>
      </c>
      <c r="F16">
        <v>1</v>
      </c>
    </row>
    <row r="17" spans="1:6" x14ac:dyDescent="0.35">
      <c r="A17">
        <v>1</v>
      </c>
      <c r="B17">
        <v>1</v>
      </c>
      <c r="C17">
        <v>1</v>
      </c>
      <c r="D17">
        <v>31</v>
      </c>
      <c r="E17">
        <f t="shared" si="0"/>
        <v>17</v>
      </c>
      <c r="F17">
        <v>1</v>
      </c>
    </row>
    <row r="18" spans="1:6" x14ac:dyDescent="0.35">
      <c r="A18">
        <v>1</v>
      </c>
      <c r="B18">
        <v>1</v>
      </c>
      <c r="C18">
        <v>1</v>
      </c>
      <c r="D18">
        <v>33</v>
      </c>
      <c r="E18">
        <f t="shared" si="0"/>
        <v>18</v>
      </c>
      <c r="F18">
        <v>1</v>
      </c>
    </row>
    <row r="19" spans="1:6" x14ac:dyDescent="0.35">
      <c r="A19">
        <v>1</v>
      </c>
      <c r="B19">
        <v>1</v>
      </c>
      <c r="C19">
        <v>1</v>
      </c>
      <c r="D19">
        <v>35</v>
      </c>
      <c r="E19">
        <f t="shared" si="0"/>
        <v>19</v>
      </c>
      <c r="F19">
        <v>1</v>
      </c>
    </row>
    <row r="20" spans="1:6" x14ac:dyDescent="0.35">
      <c r="A20">
        <v>1</v>
      </c>
      <c r="B20">
        <v>1</v>
      </c>
      <c r="C20">
        <v>1</v>
      </c>
      <c r="D20">
        <v>37</v>
      </c>
      <c r="E20">
        <f t="shared" si="0"/>
        <v>20</v>
      </c>
      <c r="F20">
        <v>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4CF4-0B6A-4C1D-BD16-A8545F2E2353}">
  <dimension ref="A1:F21"/>
  <sheetViews>
    <sheetView workbookViewId="0">
      <selection activeCell="G37" sqref="G37"/>
    </sheetView>
  </sheetViews>
  <sheetFormatPr defaultRowHeight="14.5" x14ac:dyDescent="0.35"/>
  <sheetData>
    <row r="1" spans="1:6" x14ac:dyDescent="0.35">
      <c r="A1" s="1" t="s">
        <v>6</v>
      </c>
      <c r="B1" s="1"/>
      <c r="C1" s="1"/>
      <c r="D1" s="1"/>
      <c r="E1" t="s">
        <v>0</v>
      </c>
      <c r="F1" t="s">
        <v>1</v>
      </c>
    </row>
    <row r="2" spans="1:6" x14ac:dyDescent="0.35">
      <c r="A2">
        <v>1</v>
      </c>
      <c r="B2">
        <f>A2+1</f>
        <v>2</v>
      </c>
      <c r="C2">
        <f>A2+2</f>
        <v>3</v>
      </c>
      <c r="D2">
        <f>A2+3</f>
        <v>4</v>
      </c>
      <c r="E2">
        <f>2*A2+3</f>
        <v>5</v>
      </c>
    </row>
    <row r="3" spans="1:6" x14ac:dyDescent="0.35">
      <c r="A3">
        <v>2</v>
      </c>
      <c r="B3">
        <f t="shared" ref="B3:B21" si="0">A3+1</f>
        <v>3</v>
      </c>
      <c r="C3">
        <f t="shared" ref="C3:C21" si="1">A3+2</f>
        <v>4</v>
      </c>
      <c r="D3">
        <f t="shared" ref="D3:D21" si="2">A3+3</f>
        <v>5</v>
      </c>
      <c r="E3">
        <f t="shared" ref="E3:E21" si="3">2*A3+3</f>
        <v>7</v>
      </c>
      <c r="F3">
        <v>1</v>
      </c>
    </row>
    <row r="4" spans="1:6" x14ac:dyDescent="0.35">
      <c r="A4">
        <v>3</v>
      </c>
      <c r="B4">
        <f t="shared" si="0"/>
        <v>4</v>
      </c>
      <c r="C4">
        <f t="shared" si="1"/>
        <v>5</v>
      </c>
      <c r="D4">
        <f t="shared" si="2"/>
        <v>6</v>
      </c>
      <c r="E4">
        <f t="shared" si="3"/>
        <v>9</v>
      </c>
      <c r="F4">
        <v>1</v>
      </c>
    </row>
    <row r="5" spans="1:6" x14ac:dyDescent="0.35">
      <c r="A5">
        <v>4</v>
      </c>
      <c r="B5">
        <f t="shared" si="0"/>
        <v>5</v>
      </c>
      <c r="C5">
        <f t="shared" si="1"/>
        <v>6</v>
      </c>
      <c r="D5">
        <f t="shared" si="2"/>
        <v>7</v>
      </c>
      <c r="E5">
        <f t="shared" si="3"/>
        <v>11</v>
      </c>
      <c r="F5">
        <v>1</v>
      </c>
    </row>
    <row r="6" spans="1:6" x14ac:dyDescent="0.35">
      <c r="A6">
        <v>5</v>
      </c>
      <c r="B6">
        <f t="shared" si="0"/>
        <v>6</v>
      </c>
      <c r="C6">
        <f t="shared" si="1"/>
        <v>7</v>
      </c>
      <c r="D6">
        <f t="shared" si="2"/>
        <v>8</v>
      </c>
      <c r="E6">
        <f t="shared" si="3"/>
        <v>13</v>
      </c>
      <c r="F6">
        <v>1</v>
      </c>
    </row>
    <row r="7" spans="1:6" x14ac:dyDescent="0.35">
      <c r="A7">
        <v>6</v>
      </c>
      <c r="B7">
        <f t="shared" si="0"/>
        <v>7</v>
      </c>
      <c r="C7">
        <f t="shared" si="1"/>
        <v>8</v>
      </c>
      <c r="D7">
        <f t="shared" si="2"/>
        <v>9</v>
      </c>
      <c r="E7">
        <f t="shared" si="3"/>
        <v>15</v>
      </c>
    </row>
    <row r="8" spans="1:6" x14ac:dyDescent="0.35">
      <c r="A8">
        <v>7</v>
      </c>
      <c r="B8">
        <f t="shared" si="0"/>
        <v>8</v>
      </c>
      <c r="C8">
        <f t="shared" si="1"/>
        <v>9</v>
      </c>
      <c r="D8">
        <f t="shared" si="2"/>
        <v>10</v>
      </c>
      <c r="E8">
        <f t="shared" si="3"/>
        <v>17</v>
      </c>
    </row>
    <row r="9" spans="1:6" x14ac:dyDescent="0.35">
      <c r="A9">
        <v>8</v>
      </c>
      <c r="B9">
        <f t="shared" si="0"/>
        <v>9</v>
      </c>
      <c r="C9">
        <f t="shared" si="1"/>
        <v>10</v>
      </c>
      <c r="D9">
        <f t="shared" si="2"/>
        <v>11</v>
      </c>
      <c r="E9">
        <f t="shared" si="3"/>
        <v>19</v>
      </c>
    </row>
    <row r="10" spans="1:6" x14ac:dyDescent="0.35">
      <c r="A10">
        <v>9</v>
      </c>
      <c r="B10">
        <f t="shared" si="0"/>
        <v>10</v>
      </c>
      <c r="C10">
        <f t="shared" si="1"/>
        <v>11</v>
      </c>
      <c r="D10">
        <f t="shared" si="2"/>
        <v>12</v>
      </c>
      <c r="E10">
        <f t="shared" si="3"/>
        <v>21</v>
      </c>
    </row>
    <row r="11" spans="1:6" x14ac:dyDescent="0.35">
      <c r="A11">
        <v>10</v>
      </c>
      <c r="B11">
        <f t="shared" si="0"/>
        <v>11</v>
      </c>
      <c r="C11">
        <f t="shared" si="1"/>
        <v>12</v>
      </c>
      <c r="D11">
        <f t="shared" si="2"/>
        <v>13</v>
      </c>
      <c r="E11">
        <f t="shared" si="3"/>
        <v>23</v>
      </c>
    </row>
    <row r="12" spans="1:6" x14ac:dyDescent="0.35">
      <c r="A12">
        <v>11</v>
      </c>
      <c r="B12">
        <f t="shared" si="0"/>
        <v>12</v>
      </c>
      <c r="C12">
        <f t="shared" si="1"/>
        <v>13</v>
      </c>
      <c r="D12">
        <f t="shared" si="2"/>
        <v>14</v>
      </c>
      <c r="E12">
        <f t="shared" si="3"/>
        <v>25</v>
      </c>
    </row>
    <row r="13" spans="1:6" x14ac:dyDescent="0.35">
      <c r="A13">
        <v>12</v>
      </c>
      <c r="B13">
        <f t="shared" si="0"/>
        <v>13</v>
      </c>
      <c r="C13">
        <f t="shared" si="1"/>
        <v>14</v>
      </c>
      <c r="D13">
        <f t="shared" si="2"/>
        <v>15</v>
      </c>
      <c r="E13">
        <f t="shared" si="3"/>
        <v>27</v>
      </c>
    </row>
    <row r="14" spans="1:6" x14ac:dyDescent="0.35">
      <c r="A14">
        <v>13</v>
      </c>
      <c r="B14">
        <f t="shared" si="0"/>
        <v>14</v>
      </c>
      <c r="C14">
        <f t="shared" si="1"/>
        <v>15</v>
      </c>
      <c r="D14">
        <f t="shared" si="2"/>
        <v>16</v>
      </c>
      <c r="E14">
        <f t="shared" si="3"/>
        <v>29</v>
      </c>
    </row>
    <row r="15" spans="1:6" x14ac:dyDescent="0.35">
      <c r="A15">
        <v>14</v>
      </c>
      <c r="B15">
        <f t="shared" si="0"/>
        <v>15</v>
      </c>
      <c r="C15">
        <f t="shared" si="1"/>
        <v>16</v>
      </c>
      <c r="D15">
        <f t="shared" si="2"/>
        <v>17</v>
      </c>
      <c r="E15">
        <f t="shared" si="3"/>
        <v>31</v>
      </c>
    </row>
    <row r="16" spans="1:6" x14ac:dyDescent="0.35">
      <c r="A16">
        <v>15</v>
      </c>
      <c r="B16">
        <f t="shared" si="0"/>
        <v>16</v>
      </c>
      <c r="C16">
        <f t="shared" si="1"/>
        <v>17</v>
      </c>
      <c r="D16">
        <f t="shared" si="2"/>
        <v>18</v>
      </c>
      <c r="E16">
        <f t="shared" si="3"/>
        <v>33</v>
      </c>
    </row>
    <row r="17" spans="1:5" x14ac:dyDescent="0.35">
      <c r="A17">
        <v>16</v>
      </c>
      <c r="B17">
        <f t="shared" si="0"/>
        <v>17</v>
      </c>
      <c r="C17">
        <f t="shared" si="1"/>
        <v>18</v>
      </c>
      <c r="D17">
        <f t="shared" si="2"/>
        <v>19</v>
      </c>
      <c r="E17">
        <f t="shared" si="3"/>
        <v>35</v>
      </c>
    </row>
    <row r="18" spans="1:5" x14ac:dyDescent="0.35">
      <c r="A18">
        <v>17</v>
      </c>
      <c r="B18">
        <f t="shared" si="0"/>
        <v>18</v>
      </c>
      <c r="C18">
        <f t="shared" si="1"/>
        <v>19</v>
      </c>
      <c r="D18">
        <f t="shared" si="2"/>
        <v>20</v>
      </c>
      <c r="E18">
        <f t="shared" si="3"/>
        <v>37</v>
      </c>
    </row>
    <row r="19" spans="1:5" x14ac:dyDescent="0.35">
      <c r="A19">
        <v>18</v>
      </c>
      <c r="B19">
        <f t="shared" si="0"/>
        <v>19</v>
      </c>
      <c r="C19">
        <f t="shared" si="1"/>
        <v>20</v>
      </c>
      <c r="D19">
        <f t="shared" si="2"/>
        <v>21</v>
      </c>
      <c r="E19">
        <f t="shared" si="3"/>
        <v>39</v>
      </c>
    </row>
    <row r="20" spans="1:5" x14ac:dyDescent="0.35">
      <c r="A20">
        <v>19</v>
      </c>
      <c r="B20">
        <f t="shared" si="0"/>
        <v>20</v>
      </c>
      <c r="C20">
        <f t="shared" si="1"/>
        <v>21</v>
      </c>
      <c r="D20">
        <f t="shared" si="2"/>
        <v>22</v>
      </c>
      <c r="E20">
        <f t="shared" si="3"/>
        <v>41</v>
      </c>
    </row>
    <row r="21" spans="1:5" x14ac:dyDescent="0.35">
      <c r="A21">
        <v>20</v>
      </c>
      <c r="B21">
        <f t="shared" si="0"/>
        <v>21</v>
      </c>
      <c r="C21">
        <f t="shared" si="1"/>
        <v>22</v>
      </c>
      <c r="D21">
        <f t="shared" si="2"/>
        <v>23</v>
      </c>
      <c r="E21">
        <f t="shared" si="3"/>
        <v>43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E993-0238-4317-B27B-4533647D1BB9}">
  <dimension ref="A1:A3"/>
  <sheetViews>
    <sheetView workbookViewId="0">
      <selection activeCell="I8" sqref="I8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04bec2-c145-4922-9896-5261033d2f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039B837FDE7448E473A5C59C45D76" ma:contentTypeVersion="8" ma:contentTypeDescription="Create a new document." ma:contentTypeScope="" ma:versionID="cc41c61876591a20fe9f6c4c48aa7be3">
  <xsd:schema xmlns:xsd="http://www.w3.org/2001/XMLSchema" xmlns:xs="http://www.w3.org/2001/XMLSchema" xmlns:p="http://schemas.microsoft.com/office/2006/metadata/properties" xmlns:ns3="b804bec2-c145-4922-9896-5261033d2f55" xmlns:ns4="c59da384-9901-49ec-9444-cf7078a1798c" targetNamespace="http://schemas.microsoft.com/office/2006/metadata/properties" ma:root="true" ma:fieldsID="ff0b99c0667bcda7048087563142ca57" ns3:_="" ns4:_="">
    <xsd:import namespace="b804bec2-c145-4922-9896-5261033d2f55"/>
    <xsd:import namespace="c59da384-9901-49ec-9444-cf7078a179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4bec2-c145-4922-9896-5261033d2f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da384-9901-49ec-9444-cf7078a1798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E6BBD-0338-4BD6-A494-BD55EEF0EE6F}">
  <ds:schemaRefs/>
</ds:datastoreItem>
</file>

<file path=customXml/itemProps2.xml><?xml version="1.0" encoding="utf-8"?>
<ds:datastoreItem xmlns:ds="http://schemas.openxmlformats.org/officeDocument/2006/customXml" ds:itemID="{D55EB876-A65E-4C1D-B3E8-E96275A299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3885B0-6EC3-4910-94FD-66C6ED1B08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4bec2-c145-4922-9896-5261033d2f55"/>
    <ds:schemaRef ds:uri="c59da384-9901-49ec-9444-cf7078a179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Genus_Data</vt:lpstr>
      <vt:lpstr>Graph Type 2 (k, k+1, k+2, k+3)</vt:lpstr>
      <vt:lpstr>Miscellaneous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Bailey</dc:creator>
  <cp:lastModifiedBy>Jacob Bailey</cp:lastModifiedBy>
  <dcterms:created xsi:type="dcterms:W3CDTF">2026-09-21T17:21:44Z</dcterms:created>
  <dcterms:modified xsi:type="dcterms:W3CDTF">2026-10-16T17:25:26Z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0x0101003B5039B837FDE7448E473A5C59C45D76</vt:lpwstr>
  </property>
</Properties>
</file>